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ca7977080b059c/Desktop/"/>
    </mc:Choice>
  </mc:AlternateContent>
  <xr:revisionPtr revIDLastSave="0" documentId="8_{A7F11CD6-4C4C-4DB4-A21C-BEC12E6A6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nd Yield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1" i="1" l="1"/>
  <c r="B10" i="1"/>
</calcChain>
</file>

<file path=xl/sharedStrings.xml><?xml version="1.0" encoding="utf-8"?>
<sst xmlns="http://schemas.openxmlformats.org/spreadsheetml/2006/main" count="16" uniqueCount="16">
  <si>
    <t>Bond Yield Calculator</t>
  </si>
  <si>
    <t>Parameter</t>
  </si>
  <si>
    <t>Value</t>
  </si>
  <si>
    <t>Formula Explanation</t>
  </si>
  <si>
    <t>Face Value</t>
  </si>
  <si>
    <t>Annual Coupon = Face Value × Coupon Rate</t>
  </si>
  <si>
    <t>Coupon Rate (%)</t>
  </si>
  <si>
    <t>Current Yield = Annual Coupon / Market Price</t>
  </si>
  <si>
    <t>Market Price</t>
  </si>
  <si>
    <t>Approx YTM = (Coupon + Gain/Loss per year) / Average Price</t>
  </si>
  <si>
    <t>Years to Maturity</t>
  </si>
  <si>
    <t>Annual Coupon Payment</t>
  </si>
  <si>
    <t>Current Yield (%)</t>
  </si>
  <si>
    <t>Approx YTM (%)</t>
  </si>
  <si>
    <t>Year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</si>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</sst>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Bond Cash Flow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'Bond Yield Calculator'!$B$15</c:f>
              <c:strCache>
                <c:ptCount val="1"/>
                <c:pt idx="0">
                  <c:v>Cash 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'Bond Yield Calculator'!$A$16:$A$20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'Bond Yield Calculator'!$B$16:$B$20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1080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BB-4E40-B266-255D61E1E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Cash Flow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4.4" x14ac:dyDescent="0.3"/>
  <cols>
    <col min="1" max="2" width="28" customWidth="1"/>
  </cols>
  <sheetData>
    <row r="1" spans="1:4" ht="21" x14ac:dyDescent="0.4">
      <c r="A1" s="1" t="s">
        <v>0</v>
      </c>
    </row>
    <row r="3" spans="1:4" x14ac:dyDescent="0.3">
      <c r="A3" s="2" t="s">
        <v>1</v>
      </c>
      <c r="B3" s="2" t="s">
        <v>2</v>
      </c>
      <c r="D3" s="2" t="s">
        <v>3</v>
      </c>
    </row>
    <row r="4" spans="1:4" x14ac:dyDescent="0.3">
      <c r="A4" t="s">
        <v>4</v>
      </c>
      <c r="B4">
        <v>1000</v>
      </c>
      <c r="D4" t="s">
        <v>5</v>
      </c>
    </row>
    <row r="5" spans="1:4" x14ac:dyDescent="0.3">
      <c r="A5" t="s">
        <v>6</v>
      </c>
      <c r="B5">
        <v>8</v>
      </c>
      <c r="D5" t="s">
        <v>7</v>
      </c>
    </row>
    <row r="6" spans="1:4" x14ac:dyDescent="0.3">
      <c r="A6" t="s">
        <v>8</v>
      </c>
      <c r="B6">
        <v>950</v>
      </c>
      <c r="D6" t="s">
        <v>9</v>
      </c>
    </row>
    <row r="7" spans="1:4" x14ac:dyDescent="0.3">
      <c r="A7" t="s">
        <v>10</v>
      </c>
      <c r="B7">
        <v>5</v>
      </c>
    </row>
    <row r="9" spans="1:4" x14ac:dyDescent="0.3">
      <c r="A9" t="s">
        <v>11</v>
      </c>
      <c r="B9">
        <f>B4*B5/100</f>
        <v>80</v>
      </c>
    </row>
    <row r="10" spans="1:4" x14ac:dyDescent="0.3">
      <c r="A10" t="s">
        <v>12</v>
      </c>
      <c r="B10">
        <f>B9/B6*100</f>
        <v>8.4210526315789469</v>
      </c>
    </row>
    <row r="11" spans="1:4" x14ac:dyDescent="0.3">
      <c r="A11" t="s">
        <v>13</v>
      </c>
      <c r="B11">
        <f>((B9+((B4-B6)/B7))/((B4+B6)/2))*100</f>
        <v>9.2307692307692317</v>
      </c>
    </row>
    <row r="15" spans="1:4" x14ac:dyDescent="0.3">
      <c r="A15" s="2" t="s">
        <v>14</v>
      </c>
      <c r="B15" s="2" t="s">
        <v>15</v>
      </c>
    </row>
    <row r="16" spans="1:4" x14ac:dyDescent="0.3">
      <c r="A16">
        <v>1</v>
      </c>
      <c r="B16">
        <v>80</v>
      </c>
    </row>
    <row r="17" spans="1:2" x14ac:dyDescent="0.3">
      <c r="A17">
        <v>2</v>
      </c>
      <c r="B17">
        <v>80</v>
      </c>
    </row>
    <row r="18" spans="1:2" x14ac:dyDescent="0.3">
      <c r="A18">
        <v>3</v>
      </c>
      <c r="B18">
        <v>80</v>
      </c>
    </row>
    <row r="19" spans="1:2" x14ac:dyDescent="0.3">
      <c r="A19">
        <v>4</v>
      </c>
      <c r="B19">
        <v>80</v>
      </c>
    </row>
    <row r="20" spans="1:2" x14ac:dyDescent="0.3">
      <c r="A20">
        <v>5</v>
      </c>
      <c r="B20">
        <v>1080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Yield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 Kumar M</cp:lastModifiedBy>
  <dcterms:created xsi:type="dcterms:W3CDTF">2026-05-20T06:50:35Z</dcterms:created>
  <dcterms:modified xsi:type="dcterms:W3CDTF">2026-05-20T06:51:54Z</dcterms:modified>
</cp:coreProperties>
</file>